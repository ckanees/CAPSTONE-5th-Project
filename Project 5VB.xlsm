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Anees\"/>
    </mc:Choice>
  </mc:AlternateContent>
  <bookViews>
    <workbookView xWindow="0" yWindow="0" windowWidth="19200" windowHeight="7050"/>
  </bookViews>
  <sheets>
    <sheet name="Sheet1" sheetId="1" r:id="rId1"/>
  </sheets>
  <definedNames>
    <definedName name="Cafeitems">Sheet1!$B$6,Sheet1!$D$6,Sheet1!$B$7,Sheet1!$D$7,Sheet1!$B$8,Sheet1!$D$8,Sheet1!$B$9,Sheet1!$D$9,Sheet1!$B$10,Sheet1!$D$10,Sheet1!$B$11,Sheet1!$D$11,Sheet1!$B$12,Sheet1!$D$12,Sheet1!$B$13,Sheet1!$D$13,Sheet1!$B$14,Sheet1!$D$14,Sheet1!$B$15,Sheet1!$D$15,Sheet1!$B$16,Sheet1!$D$16,Sheet1!$B$17,Sheet1!$D$17,Sheet1!$B$18,Sheet1!$D$18,Sheet1!$B$3</definedName>
    <definedName name="Cafenewrange">Sheet1!$B$3,Sheet1!$B$6,Sheet1!$D$6,Sheet1!$B$7,Sheet1!$D$7,Sheet1!$B$8,Sheet1!$D$8,Sheet1!$B$9,Sheet1!$D$9,Sheet1!$B$10,Sheet1!$D$10,Sheet1!$B$11,Sheet1!$D$11,Sheet1!$B$12,Sheet1!$D$12,Sheet1!$B$13,Sheet1!$D$13,Sheet1!$B$14,Sheet1!$D$14,Sheet1!$B$15,Sheet1!$D$15,Sheet1!$B$16,Sheet1!$D$16,Sheet1!$B$17,Sheet1!$D$17,Sheet1!$B$18,Sheet1!$D$18</definedName>
    <definedName name="_xlnm.Print_Area" localSheetId="0">Sheet1!$A$1:$E$21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6" i="1"/>
  <c r="E6" i="1" s="1"/>
  <c r="A18" i="1"/>
  <c r="A17" i="1"/>
  <c r="A16" i="1"/>
  <c r="A15" i="1"/>
  <c r="A14" i="1"/>
  <c r="A13" i="1"/>
  <c r="A12" i="1"/>
  <c r="A11" i="1"/>
  <c r="A10" i="1"/>
  <c r="A9" i="1"/>
  <c r="A6" i="1"/>
  <c r="A7" i="1" s="1"/>
  <c r="A8" i="1" s="1"/>
  <c r="E19" i="1" l="1"/>
  <c r="E21" i="1" s="1"/>
</calcChain>
</file>

<file path=xl/sharedStrings.xml><?xml version="1.0" encoding="utf-8"?>
<sst xmlns="http://schemas.openxmlformats.org/spreadsheetml/2006/main" count="26" uniqueCount="21">
  <si>
    <t>Anees Café</t>
  </si>
  <si>
    <t>Customer</t>
  </si>
  <si>
    <t>Date</t>
  </si>
  <si>
    <t>Place</t>
  </si>
  <si>
    <t>Sl No</t>
  </si>
  <si>
    <t>Price</t>
  </si>
  <si>
    <t>Total</t>
  </si>
  <si>
    <t>Discount</t>
  </si>
  <si>
    <t>Grand Total</t>
  </si>
  <si>
    <t>Tea</t>
  </si>
  <si>
    <t>Coffee</t>
  </si>
  <si>
    <t>Juice</t>
  </si>
  <si>
    <t>Burger</t>
  </si>
  <si>
    <t>Sandwich</t>
  </si>
  <si>
    <t>ITEMS</t>
  </si>
  <si>
    <t>Anees</t>
  </si>
  <si>
    <t>Manoj</t>
  </si>
  <si>
    <t>Sunday, June 26, 2022</t>
  </si>
  <si>
    <t>Name</t>
  </si>
  <si>
    <t>Billed Date</t>
  </si>
  <si>
    <t>Total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</si>
</sst>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gency FB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0" fillId="0" borderId="10" xfId="0" applyBorder="1"/>
    <xf numFmtId="2" fontId="0" fillId="0" borderId="9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0" borderId="15" xfId="0" applyNumberFormat="1" applyBorder="1"/>
    <xf numFmtId="0" fontId="0" fillId="0" borderId="7" xfId="0" applyBorder="1"/>
    <xf numFmtId="0" fontId="0" fillId="0" borderId="0" xfId="0" applyBorder="1"/>
    <xf numFmtId="0" fontId="2" fillId="0" borderId="4" xfId="0" applyFont="1" applyBorder="1"/>
    <xf numFmtId="0" fontId="2" fillId="0" borderId="5" xfId="0" applyFont="1" applyBorder="1"/>
    <xf numFmtId="2" fontId="2" fillId="0" borderId="18" xfId="1" applyNumberFormat="1" applyFont="1" applyBorder="1"/>
    <xf numFmtId="0" fontId="2" fillId="0" borderId="19" xfId="0" applyFont="1" applyBorder="1"/>
    <xf numFmtId="0" fontId="2" fillId="0" borderId="20" xfId="0" applyFont="1" applyBorder="1"/>
    <xf numFmtId="2" fontId="2" fillId="0" borderId="15" xfId="0" applyNumberFormat="1" applyFont="1" applyBorder="1"/>
    <xf numFmtId="0" fontId="0" fillId="0" borderId="4" xfId="0" applyBorder="1"/>
    <xf numFmtId="0" fontId="0" fillId="0" borderId="5" xfId="0" applyBorder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7" xfId="0" applyFont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center" textRotation="18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194236</xdr:colOff>
      <xdr:row>14</xdr:row>
      <xdr:rowOff>146796</xdr:rowOff>
    </xdr:from>
    <xdr:to>
      <xdr:col>7</xdr:col>
      <xdr:colOff>143436</xdr:colOff>
      <xdr:row>17</xdr:row>
      <xdr:rowOff>79562</xdr:rowOff>
    </xdr:to>
    <xdr:sp macro="[0]!Printbill" textlink="">
      <xdr:nvSpPr>
        <xdr:cNvPr id="2" name="Flowchart: Alternate Process 1"/>
        <xdr:cNvSpPr/>
      </xdr:nvSpPr>
      <xdr:spPr>
        <a:xfrm>
          <a:off x="5296648" y="2858620"/>
          <a:ext cx="1174376" cy="515471"/>
        </a:xfrm>
        <a:prstGeom prst="flowChartAlternateProcess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Print Bill</a:t>
          </a:r>
        </a:p>
      </xdr:txBody>
    </xdr:sp>
    <xdr:clientData/>
  </xdr:twoCellAnchor>
  <xdr:twoCellAnchor>
    <xdr:from>
      <xdr:col>5</xdr:col>
      <xdr:colOff>155762</xdr:colOff>
      <xdr:row>5</xdr:row>
      <xdr:rowOff>94503</xdr:rowOff>
    </xdr:from>
    <xdr:to>
      <xdr:col>7</xdr:col>
      <xdr:colOff>104962</xdr:colOff>
      <xdr:row>8</xdr:row>
      <xdr:rowOff>31003</xdr:rowOff>
    </xdr:to>
    <xdr:sp macro="[0]!Newcustomercafe" textlink="">
      <xdr:nvSpPr>
        <xdr:cNvPr id="3" name="Flowchart: Alternate Process 2"/>
        <xdr:cNvSpPr/>
      </xdr:nvSpPr>
      <xdr:spPr>
        <a:xfrm>
          <a:off x="5258174" y="1058209"/>
          <a:ext cx="1174376" cy="519206"/>
        </a:xfrm>
        <a:prstGeom prst="flowChartAlternateProcess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New Bill</a:t>
          </a:r>
        </a:p>
      </xdr:txBody>
    </xdr:sp>
    <xdr:clientData/>
  </xdr:twoCellAnchor>
  <xdr:twoCellAnchor>
    <xdr:from>
      <xdr:col>5</xdr:col>
      <xdr:colOff>168461</xdr:colOff>
      <xdr:row>10</xdr:row>
      <xdr:rowOff>33244</xdr:rowOff>
    </xdr:from>
    <xdr:to>
      <xdr:col>7</xdr:col>
      <xdr:colOff>117661</xdr:colOff>
      <xdr:row>12</xdr:row>
      <xdr:rowOff>163979</xdr:rowOff>
    </xdr:to>
    <xdr:sp macro="[0]!cafesavedata" textlink="">
      <xdr:nvSpPr>
        <xdr:cNvPr id="4" name="Flowchart: Alternate Process 3"/>
        <xdr:cNvSpPr/>
      </xdr:nvSpPr>
      <xdr:spPr>
        <a:xfrm>
          <a:off x="5270873" y="1968126"/>
          <a:ext cx="1174376" cy="519206"/>
        </a:xfrm>
        <a:prstGeom prst="flowChartAlternateProcess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2000" b="1"/>
            <a:t>Save Bill</a:t>
          </a:r>
        </a:p>
      </xdr:txBody>
    </xdr:sp>
    <xdr:clientData/>
  </xdr:twoCellAnchor>
  <xdr:twoCellAnchor>
    <xdr:from>
      <xdr:col>10</xdr:col>
      <xdr:colOff>107950</xdr:colOff>
      <xdr:row>1</xdr:row>
      <xdr:rowOff>127000</xdr:rowOff>
    </xdr:from>
    <xdr:to>
      <xdr:col>11</xdr:col>
      <xdr:colOff>19050</xdr:colOff>
      <xdr:row>8</xdr:row>
      <xdr:rowOff>95250</xdr:rowOff>
    </xdr:to>
    <xdr:sp macro="" textlink="">
      <xdr:nvSpPr>
        <xdr:cNvPr id="9" name="Right Arrow 8"/>
        <xdr:cNvSpPr/>
      </xdr:nvSpPr>
      <xdr:spPr>
        <a:xfrm>
          <a:off x="8902700" y="311150"/>
          <a:ext cx="1352550" cy="1301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Storing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1"/>
  <sheetViews>
    <sheetView tabSelected="1" zoomScale="85" zoomScaleNormal="85" workbookViewId="0">
      <selection activeCell="I15" sqref="I15"/>
    </sheetView>
  </sheetViews>
  <sheetFormatPr defaultRowHeight="14.5" x14ac:dyDescent="0.35"/>
  <cols>
    <col min="2" max="2" width="25.90625" customWidth="1"/>
    <col min="3" max="3" width="9.90625" customWidth="1"/>
    <col min="4" max="4" width="19.7265625" bestFit="1" customWidth="1"/>
    <col min="9" max="9" width="14.7265625" customWidth="1"/>
    <col min="10" max="10" width="12.54296875" customWidth="1"/>
    <col min="11" max="11" width="20.6328125" customWidth="1"/>
    <col min="12" max="12" width="13.453125" customWidth="1"/>
    <col min="13" max="13" width="19.1796875" bestFit="1" customWidth="1"/>
  </cols>
  <sheetData>
    <row r="1" spans="1:37" x14ac:dyDescent="0.35">
      <c r="A1" s="40" t="s">
        <v>0</v>
      </c>
      <c r="B1" s="1"/>
      <c r="C1" s="1"/>
      <c r="D1" s="1"/>
      <c r="E1" s="2"/>
      <c r="L1" s="41" t="s">
        <v>18</v>
      </c>
      <c r="M1" s="41" t="s">
        <v>19</v>
      </c>
      <c r="N1" s="41" t="s">
        <v>20</v>
      </c>
    </row>
    <row r="2" spans="1:37" ht="15" thickBot="1" x14ac:dyDescent="0.4">
      <c r="A2" s="3"/>
      <c r="B2" s="4"/>
      <c r="C2" s="4"/>
      <c r="D2" s="4"/>
      <c r="E2" s="5"/>
      <c r="K2" s="42"/>
      <c r="L2" t="s">
        <v>16</v>
      </c>
      <c r="M2" t="s">
        <v>17</v>
      </c>
      <c r="N2">
        <v>1010</v>
      </c>
      <c r="AI2" t="s">
        <v>16</v>
      </c>
      <c r="AJ2" t="s">
        <v>17</v>
      </c>
      <c r="AK2">
        <v>1000</v>
      </c>
    </row>
    <row r="3" spans="1:37" ht="15" thickBot="1" x14ac:dyDescent="0.4">
      <c r="A3" s="39" t="s">
        <v>1</v>
      </c>
      <c r="B3" s="6"/>
      <c r="C3" s="7" t="s">
        <v>2</v>
      </c>
      <c r="D3" s="8">
        <f ca="1">TODAY()</f>
        <v>44738</v>
      </c>
      <c r="E3" s="9"/>
      <c r="K3" s="42"/>
      <c r="L3" t="s">
        <v>15</v>
      </c>
      <c r="M3" t="s">
        <v>17</v>
      </c>
      <c r="N3">
        <v>1060</v>
      </c>
    </row>
    <row r="4" spans="1:37" ht="15" thickBot="1" x14ac:dyDescent="0.4">
      <c r="A4" s="10" t="s">
        <v>3</v>
      </c>
      <c r="B4" s="11"/>
      <c r="C4" s="7"/>
      <c r="D4" s="7"/>
      <c r="E4" s="9"/>
      <c r="I4" s="38" t="s">
        <v>14</v>
      </c>
      <c r="J4" s="38" t="s">
        <v>5</v>
      </c>
      <c r="K4" s="42"/>
    </row>
    <row r="5" spans="1:37" ht="15" thickBot="1" x14ac:dyDescent="0.4">
      <c r="A5" s="12" t="s">
        <v>4</v>
      </c>
      <c r="B5" s="13"/>
      <c r="C5" s="12" t="s">
        <v>5</v>
      </c>
      <c r="D5" s="12"/>
      <c r="E5" s="14" t="s">
        <v>6</v>
      </c>
      <c r="F5" s="37"/>
      <c r="I5" t="s">
        <v>9</v>
      </c>
      <c r="J5">
        <v>10</v>
      </c>
      <c r="K5" s="42"/>
    </row>
    <row r="6" spans="1:37" ht="15" thickBot="1" x14ac:dyDescent="0.4">
      <c r="A6" s="15" t="str">
        <f>IF(B6="","",1)</f>
        <v/>
      </c>
      <c r="B6" s="16"/>
      <c r="C6" s="17" t="str">
        <f>IFERROR(VLOOKUP(B6,I4:J9,2,0),"")</f>
        <v/>
      </c>
      <c r="D6" s="15"/>
      <c r="E6" s="18" t="str">
        <f t="shared" ref="E6:E18" si="0">IFERROR(C6*D6,"")</f>
        <v/>
      </c>
      <c r="I6" t="s">
        <v>10</v>
      </c>
      <c r="J6">
        <v>20</v>
      </c>
      <c r="K6" s="42"/>
    </row>
    <row r="7" spans="1:37" ht="15" thickBot="1" x14ac:dyDescent="0.4">
      <c r="A7" s="15" t="str">
        <f>IF(B7="","",1+A6)</f>
        <v/>
      </c>
      <c r="B7" s="19"/>
      <c r="C7" s="17" t="str">
        <f t="shared" ref="C7:C18" si="1">IFERROR(VLOOKUP(B7,I5:J10,2,0),"")</f>
        <v/>
      </c>
      <c r="D7" s="20"/>
      <c r="E7" s="18" t="str">
        <f t="shared" si="0"/>
        <v/>
      </c>
      <c r="I7" t="s">
        <v>11</v>
      </c>
      <c r="J7">
        <v>80</v>
      </c>
      <c r="K7" s="42"/>
    </row>
    <row r="8" spans="1:37" ht="15" thickBot="1" x14ac:dyDescent="0.4">
      <c r="A8" s="15" t="str">
        <f t="shared" ref="A8:A18" si="2">IF(B8="","",1+A7)</f>
        <v/>
      </c>
      <c r="B8" s="21"/>
      <c r="C8" s="17" t="str">
        <f t="shared" si="1"/>
        <v/>
      </c>
      <c r="D8" s="22"/>
      <c r="E8" s="18" t="str">
        <f t="shared" si="0"/>
        <v/>
      </c>
      <c r="I8" t="s">
        <v>12</v>
      </c>
      <c r="J8">
        <v>200</v>
      </c>
      <c r="K8" s="42"/>
    </row>
    <row r="9" spans="1:37" ht="15" thickBot="1" x14ac:dyDescent="0.4">
      <c r="A9" s="15" t="str">
        <f t="shared" si="2"/>
        <v/>
      </c>
      <c r="B9" s="21"/>
      <c r="C9" s="17" t="str">
        <f t="shared" si="1"/>
        <v/>
      </c>
      <c r="D9" s="22"/>
      <c r="E9" s="18" t="str">
        <f t="shared" si="0"/>
        <v/>
      </c>
      <c r="I9" t="s">
        <v>13</v>
      </c>
      <c r="J9">
        <v>200</v>
      </c>
      <c r="K9" s="42"/>
    </row>
    <row r="10" spans="1:37" ht="15" thickBot="1" x14ac:dyDescent="0.4">
      <c r="A10" s="15" t="str">
        <f t="shared" si="2"/>
        <v/>
      </c>
      <c r="B10" s="21"/>
      <c r="C10" s="17" t="str">
        <f t="shared" si="1"/>
        <v/>
      </c>
      <c r="D10" s="22"/>
      <c r="E10" s="18" t="str">
        <f t="shared" si="0"/>
        <v/>
      </c>
      <c r="K10" s="42"/>
    </row>
    <row r="11" spans="1:37" ht="15" thickBot="1" x14ac:dyDescent="0.4">
      <c r="A11" s="15" t="str">
        <f t="shared" si="2"/>
        <v/>
      </c>
      <c r="B11" s="21"/>
      <c r="C11" s="17" t="str">
        <f t="shared" si="1"/>
        <v/>
      </c>
      <c r="D11" s="22"/>
      <c r="E11" s="18" t="str">
        <f t="shared" si="0"/>
        <v/>
      </c>
      <c r="K11" s="42"/>
    </row>
    <row r="12" spans="1:37" ht="15" thickBot="1" x14ac:dyDescent="0.4">
      <c r="A12" s="15" t="str">
        <f t="shared" si="2"/>
        <v/>
      </c>
      <c r="B12" s="21"/>
      <c r="C12" s="17" t="str">
        <f t="shared" si="1"/>
        <v/>
      </c>
      <c r="D12" s="22"/>
      <c r="E12" s="18" t="str">
        <f t="shared" si="0"/>
        <v/>
      </c>
    </row>
    <row r="13" spans="1:37" ht="15" thickBot="1" x14ac:dyDescent="0.4">
      <c r="A13" s="15" t="str">
        <f t="shared" si="2"/>
        <v/>
      </c>
      <c r="B13" s="21"/>
      <c r="C13" s="17" t="str">
        <f t="shared" si="1"/>
        <v/>
      </c>
      <c r="D13" s="22"/>
      <c r="E13" s="18" t="str">
        <f t="shared" si="0"/>
        <v/>
      </c>
    </row>
    <row r="14" spans="1:37" ht="15" thickBot="1" x14ac:dyDescent="0.4">
      <c r="A14" s="15" t="str">
        <f t="shared" si="2"/>
        <v/>
      </c>
      <c r="B14" s="21"/>
      <c r="C14" s="17" t="str">
        <f t="shared" si="1"/>
        <v/>
      </c>
      <c r="D14" s="22"/>
      <c r="E14" s="18" t="str">
        <f t="shared" si="0"/>
        <v/>
      </c>
    </row>
    <row r="15" spans="1:37" ht="15" thickBot="1" x14ac:dyDescent="0.4">
      <c r="A15" s="15" t="str">
        <f t="shared" si="2"/>
        <v/>
      </c>
      <c r="B15" s="21"/>
      <c r="C15" s="17" t="str">
        <f t="shared" si="1"/>
        <v/>
      </c>
      <c r="D15" s="22"/>
      <c r="E15" s="18" t="str">
        <f t="shared" si="0"/>
        <v/>
      </c>
    </row>
    <row r="16" spans="1:37" ht="15" thickBot="1" x14ac:dyDescent="0.4">
      <c r="A16" s="15" t="str">
        <f t="shared" si="2"/>
        <v/>
      </c>
      <c r="B16" s="21"/>
      <c r="C16" s="17" t="str">
        <f t="shared" si="1"/>
        <v/>
      </c>
      <c r="D16" s="22"/>
      <c r="E16" s="18" t="str">
        <f t="shared" si="0"/>
        <v/>
      </c>
    </row>
    <row r="17" spans="1:5" ht="15" thickBot="1" x14ac:dyDescent="0.4">
      <c r="A17" s="15" t="str">
        <f t="shared" si="2"/>
        <v/>
      </c>
      <c r="B17" s="21"/>
      <c r="C17" s="17" t="str">
        <f t="shared" si="1"/>
        <v/>
      </c>
      <c r="D17" s="22"/>
      <c r="E17" s="18" t="str">
        <f t="shared" si="0"/>
        <v/>
      </c>
    </row>
    <row r="18" spans="1:5" ht="15" thickBot="1" x14ac:dyDescent="0.4">
      <c r="A18" s="23" t="str">
        <f t="shared" si="2"/>
        <v/>
      </c>
      <c r="B18" s="24"/>
      <c r="C18" s="17" t="str">
        <f t="shared" si="1"/>
        <v/>
      </c>
      <c r="D18" s="25"/>
      <c r="E18" s="26" t="str">
        <f t="shared" si="0"/>
        <v/>
      </c>
    </row>
    <row r="19" spans="1:5" ht="15" thickBot="1" x14ac:dyDescent="0.4">
      <c r="A19" s="27"/>
      <c r="B19" s="28"/>
      <c r="C19" s="29" t="s">
        <v>6</v>
      </c>
      <c r="D19" s="30"/>
      <c r="E19" s="31">
        <f>SUM(E6:E18)</f>
        <v>0</v>
      </c>
    </row>
    <row r="20" spans="1:5" ht="15" thickBot="1" x14ac:dyDescent="0.4">
      <c r="A20" s="27"/>
      <c r="B20" s="28"/>
      <c r="C20" s="32" t="s">
        <v>7</v>
      </c>
      <c r="D20" s="33"/>
      <c r="E20" s="34"/>
    </row>
    <row r="21" spans="1:5" ht="15" thickBot="1" x14ac:dyDescent="0.4">
      <c r="A21" s="35"/>
      <c r="B21" s="36"/>
      <c r="C21" s="29" t="s">
        <v>8</v>
      </c>
      <c r="D21" s="30"/>
      <c r="E21" s="31">
        <f>E19-E20</f>
        <v>0</v>
      </c>
    </row>
  </sheetData>
  <mergeCells count="2">
    <mergeCell ref="A1:E2"/>
    <mergeCell ref="K2:K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Cafeitems</vt:lpstr>
      <vt:lpstr>Cafenewrange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2022-06-26T18:06:12Z</cp:lastPrinted>
  <dcterms:created xsi:type="dcterms:W3CDTF">2022-06-26T16:45:00Z</dcterms:created>
  <dcterms:modified xsi:type="dcterms:W3CDTF">2022-06-26T18:08:21Z</dcterms:modified>
</cp:coreProperties>
</file>